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แดชบอร์ดสรุป" sheetId="1" r:id="rId5"/>
    <sheet state="visible" name="สลิปโอนเงิน" sheetId="2" r:id="rId6"/>
    <sheet state="visible" name="สรุปกระทบยอด" sheetId="3" r:id="rId7"/>
    <sheet state="visible" name="ใบเสร็จใบกำกับภาษี" sheetId="4" r:id="rId8"/>
    <sheet state="visible" name="สเตตเมนต์" sheetId="5" r:id="rId9"/>
  </sheets>
  <definedNames/>
  <calcPr/>
</workbook>
</file>

<file path=xl/sharedStrings.xml><?xml version="1.0" encoding="utf-8"?>
<sst xmlns="http://schemas.openxmlformats.org/spreadsheetml/2006/main" count="371" uniqueCount="181">
  <si>
    <t>สรุปภาพรวมบัญชี</t>
  </si>
  <si>
    <t>อัปเดตล่าสุด: 16/05/2026 16:15</t>
  </si>
  <si>
    <t>💰 ยอดค่าใช้จ่ายแยกตามหมวดหมู่</t>
  </si>
  <si>
    <t>🧾 สรุปภาษีประจำเดือน</t>
  </si>
  <si>
    <t>หมวดหมู่</t>
  </si>
  <si>
    <t>ยอดรวมสุทธิ</t>
  </si>
  <si>
    <t>รายการภาษี</t>
  </si>
  <si>
    <t>ยอดรวม</t>
  </si>
  <si>
    <t>สลิปโอนเงิน</t>
  </si>
  <si>
    <t>VAT (7%) รวม</t>
  </si>
  <si>
    <t>สเตตเมนต์ (ถอน)</t>
  </si>
  <si>
    <t>WHT รวม</t>
  </si>
  <si>
    <t>ใบเสร็จ/ใบกำกับภาษี</t>
  </si>
  <si>
    <t>ยอดรวมทั้งหมด</t>
  </si>
  <si>
    <t>⚠️ จ่ายเต็มแต่ลืมหัก WHT</t>
  </si>
  <si>
    <t>📊 สถานะการกระทบยอด (Matching)</t>
  </si>
  <si>
    <t>สถานะ</t>
  </si>
  <si>
    <t>จำนวนรายการ</t>
  </si>
  <si>
    <t>จับคู่สำเร็จ</t>
  </si>
  <si>
    <t>รอใบกำกับ/รอชำระ</t>
  </si>
  <si>
    <t>เวลาที่บันทึก</t>
  </si>
  <si>
    <t>วันที่ในเอกสาร</t>
  </si>
  <si>
    <t>เวลาในเอกสาร</t>
  </si>
  <si>
    <t>ธนาคารต้นทาง</t>
  </si>
  <si>
    <t>ผู้ส่ง/โอน</t>
  </si>
  <si>
    <t>ธนาคารปลายทาง</t>
  </si>
  <si>
    <t>ผู้รับเงิน</t>
  </si>
  <si>
    <t>จำนวนเงินสุทธิ</t>
  </si>
  <si>
    <t>เลขที่อ้างอิง</t>
  </si>
  <si>
    <t>บันทึกช่วยจำ</t>
  </si>
  <si>
    <t>สรุปจาก AI</t>
  </si>
  <si>
    <t>ลิงก์ไฟล์</t>
  </si>
  <si>
    <t>AI ถูก/ผิด</t>
  </si>
  <si>
    <t>16/05/2026 16:05</t>
  </si>
  <si>
    <t>30/03/2026</t>
  </si>
  <si>
    <t>16:44</t>
  </si>
  <si>
    <t>-</t>
  </si>
  <si>
    <t>HEARTWARMING CO.,LTD.</t>
  </si>
  <si>
    <t>NCC MANAGEMENT AND DEVELOPMENT</t>
  </si>
  <si>
    <t>57980.0</t>
  </si>
  <si>
    <t>BILS260330387631301</t>
  </si>
  <si>
    <t>ExWHT ค่าบูธ PET EXPO มัดจำครึ่งหลัง</t>
  </si>
  <si>
    <t>สลิปการชำระเงินจากฮาร์ทวอร์มิง โค. จำกัด ไปยัง เอ็นซีซี แมนเนจเม้นท์ แอนด์ ดีเวลลอปเม้นท์ จำนวน 57,980 บาท</t>
  </si>
  <si>
    <t>https://drive.google.com/file/d/1gVP20qiYzXy4QFQxnRVJj6SC6wKR70AK/view?usp=drivesdk</t>
  </si>
  <si>
    <t>16/05/2026 16:06</t>
  </si>
  <si>
    <t>10/03/2026</t>
  </si>
  <si>
    <t>15:12</t>
  </si>
  <si>
    <t>BILS260310219216315</t>
  </si>
  <si>
    <t>ExWHT มัดจำ 50percent ครึ่งแรก Pet Expo 2026</t>
  </si>
  <si>
    <t>สลิปการโอนเงินจาก HEARTWARMING CO.,LTD. ไปยัง NCC MANAGEMENT AND DEVELOPMENT จำนวน 57,980 บาท เมื่อวันที่ 10 มีนาคม 2566</t>
  </si>
  <si>
    <t>https://drive.google.com/file/d/196bo7tsHFwEn9JA1gLw4e_Pj_GiBvbJV/view?usp=drivesdk</t>
  </si>
  <si>
    <t>4/3/2026</t>
  </si>
  <si>
    <t>11:19</t>
  </si>
  <si>
    <t>DAYWORK</t>
  </si>
  <si>
    <t>963.0</t>
  </si>
  <si>
    <t>BILS260304165935409</t>
  </si>
  <si>
    <t>แพจเกจ Daywork</t>
  </si>
  <si>
    <t>การชำระบิลสำเร็จจาก HEARTWARMING CO.,LTD. ไปยัง DAYWORK จำนวน 963 บาท</t>
  </si>
  <si>
    <t>https://drive.google.com/file/d/1g1dW3Pab6wDPXuiLsleM2Zt_XAcKb6an/view?usp=drivesdk</t>
  </si>
  <si>
    <t>03/03/2026</t>
  </si>
  <si>
    <t>19:16</t>
  </si>
  <si>
    <t>HEARTWARMING CO.,LTD</t>
  </si>
  <si>
    <t>THUMNAKSILP A</t>
  </si>
  <si>
    <t>353.1</t>
  </si>
  <si>
    <t>TRTS260303161260593</t>
  </si>
  <si>
    <t>กระดาษออกบูส</t>
  </si>
  <si>
    <t>สลิปโอนเงินจาก HEARTWARMING CO.,LTD ไปยัง THUMNAKSILP A จำนวน 353.10 บาท</t>
  </si>
  <si>
    <t>https://drive.google.com/file/d/1hCNpghxTF67AQ9GwAuzKgowvEWm64OOH/view?usp=drivesdk</t>
  </si>
  <si>
    <t>19/03/2026</t>
  </si>
  <si>
    <t>16:48</t>
  </si>
  <si>
    <t>NEVEROFF CO.,LTD.</t>
  </si>
  <si>
    <t>22880.0</t>
  </si>
  <si>
    <t>TRBS260319297240928</t>
  </si>
  <si>
    <t>ExWHT PILATES FEST 2026</t>
  </si>
  <si>
    <t>โอนเงินจาก HEARTWARMING CO.,LTD. ไปยัง NEVEROFF CO.,LTD. จำนวน 22,880 บาท เมื่อวันที่ 19 มีนาคม 2566</t>
  </si>
  <si>
    <t>https://drive.google.com/file/d/1qSWpMyCUWuK_d-BX1eDWqAYJPBMuLiPC/view?usp=drivesdk</t>
  </si>
  <si>
    <t>4/03/2026</t>
  </si>
  <si>
    <t>11:40</t>
  </si>
  <si>
    <t>SHIPNITY</t>
  </si>
  <si>
    <t>20696.0</t>
  </si>
  <si>
    <t>TRTS260304166144700</t>
  </si>
  <si>
    <t>ExWHT SHIPNITY 1 YEAR</t>
  </si>
  <si>
    <t>สลิปโอนเงินจาก HEARTWARMING CO.,LTD ไปยัง SHIPNITY จำนวน 20,696.00 บาท เมื่อวันที่ 4 มีนาคม 2566</t>
  </si>
  <si>
    <t>https://drive.google.com/file/d/1Q3Y-JYSNDNKaSoFBQMV71jSEk_rAU0Fj/view?usp=drivesdk</t>
  </si>
  <si>
    <t>วันที่ประมวลผล</t>
  </si>
  <si>
    <t>วันที่เอกสาร</t>
  </si>
  <si>
    <t>จำนวนเงิน</t>
  </si>
  <si>
    <t>คู่ค้า/ร้านค้า</t>
  </si>
  <si>
    <t>ลิงก์สลิป</t>
  </si>
  <si>
    <t>ลิงก์ใบกำกับ</t>
  </si>
  <si>
    <t>หมายเหตุ</t>
  </si>
  <si>
    <t>16/05/2026 16:14</t>
  </si>
  <si>
    <t>⚠️ รอใบกำกับ (สลิป)</t>
  </si>
  <si>
    <t>ยังไม่พบใบกำกับภาษีที่ยอดตรงกัน</t>
  </si>
  <si>
    <t>✅ จับคู่สำเร็จ</t>
  </si>
  <si>
    <t>บริษัท เดย์เวิร์ค (ประเทศไทย) จำกัด</t>
  </si>
  <si>
    <t>https://drive.google.com/file/d/180aVkqYDfROGPpQ_pWbFjOTanKFDrHOc/view?usp=drivesdk</t>
  </si>
  <si>
    <t>พบจาก สลิป: จ่ายยอดเต็ม ⚠️ ลืมหัก WHT?</t>
  </si>
  <si>
    <t>Heartwarming Co., Ltd.</t>
  </si>
  <si>
    <t>https://drive.google.com/file/d/1_1UDxT9-H0ttjJ0xNEWP3dLgXvh0_1TS/view?usp=drivesdk</t>
  </si>
  <si>
    <t>บริษัท ฮาร์ทวมมิ่ง จำกัด</t>
  </si>
  <si>
    <t>https://drive.google.com/file/d/1DAlVIL5_eoyyIaskVWyryEqrAxP9t7sf/view?usp=drivesdk</t>
  </si>
  <si>
    <t>📬 รอการชำระเงิน</t>
  </si>
  <si>
    <t>59652.5</t>
  </si>
  <si>
    <t>บริษัท ฮาร์ทวอมมิ่ง จำกัด</t>
  </si>
  <si>
    <t>https://drive.google.com/file/d/1QXRIP2EmdIGdnxeKRxVGAY_W6c7IERU1/view?usp=drivesdk</t>
  </si>
  <si>
    <t>มีใบกำกับแล้วแต่ยังไม่พบยอดโอน</t>
  </si>
  <si>
    <t>N.C.C. MANAGEMENT AND DEVELOPMENT CO., LTD.</t>
  </si>
  <si>
    <t>https://drive.google.com/file/d/1i9xMYh2Wfhd43VgRBok3jh9h_PPc9rL_/view?usp=drivesdk</t>
  </si>
  <si>
    <t>04/03/2026</t>
  </si>
  <si>
    <t>21293.0</t>
  </si>
  <si>
    <t>บริษัท ชิปนิตี้ จำกัด</t>
  </si>
  <si>
    <t>https://drive.google.com/file/d/1KDDISRt6YEqEV15UynL6L6bC2XoPfqyI/view?usp=drivesdk</t>
  </si>
  <si>
    <t>26/03/2026</t>
  </si>
  <si>
    <t>114.0</t>
  </si>
  <si>
    <t>SPX Express (Thailand) Co., Ltd.</t>
  </si>
  <si>
    <t>https://drive.google.com/file/d/1cUUDu7ii8MAIv2vss94ir-a_eOb7HtIp/view?usp=drivesdk</t>
  </si>
  <si>
    <t>เวลาเอกสาร</t>
  </si>
  <si>
    <t>ผู้ส่ง</t>
  </si>
  <si>
    <t>เลขผู้เสียภาษี</t>
  </si>
  <si>
    <t>สาขา</t>
  </si>
  <si>
    <t>ที่อยู่</t>
  </si>
  <si>
    <t>ผู้รับ</t>
  </si>
  <si>
    <t>ยอดก่อนภาษี</t>
  </si>
  <si>
    <t>ส่วนลด</t>
  </si>
  <si>
    <t>VAT</t>
  </si>
  <si>
    <t>WHT</t>
  </si>
  <si>
    <t>อัตรา</t>
  </si>
  <si>
    <t>เงื่อนไข</t>
  </si>
  <si>
    <t>ประเภทเงินได้</t>
  </si>
  <si>
    <t>16/05/2026 16:08</t>
  </si>
  <si>
    <t>Receipt</t>
  </si>
  <si>
    <t>0105565099047</t>
  </si>
  <si>
    <t>บริษัท เอ็น.ซี.ซี. แมนเนจเม้นท์ แอนด์ ดิเวลลอปเม้นท์ จำกัด</t>
  </si>
  <si>
    <t>55750.0</t>
  </si>
  <si>
    <t>3902.5</t>
  </si>
  <si>
    <t>0</t>
  </si>
  <si>
    <t>0305700726</t>
  </si>
  <si>
    <t>16/05/2026 16:09</t>
  </si>
  <si>
    <t>0305700190</t>
  </si>
  <si>
    <t>11:42</t>
  </si>
  <si>
    <t>0105560071446</t>
  </si>
  <si>
    <t>19900.0</t>
  </si>
  <si>
    <t>1393.0</t>
  </si>
  <si>
    <t>IV-2603-0063</t>
  </si>
  <si>
    <t>16/05/2026 16:10</t>
  </si>
  <si>
    <t>0125555003926</t>
  </si>
  <si>
    <t>บริษัท เนเวอร์ออฟ จำกัด</t>
  </si>
  <si>
    <t>22000.0</t>
  </si>
  <si>
    <t>1540.0</t>
  </si>
  <si>
    <t>660.0</t>
  </si>
  <si>
    <t>INV2026000006</t>
  </si>
  <si>
    <t>03/03/2569</t>
  </si>
  <si>
    <t>0105537106999</t>
  </si>
  <si>
    <t>บริษัท ตำหนักศิลป์ แอดเวอร์ไทซิ่ง จำกัด</t>
  </si>
  <si>
    <t>330.0</t>
  </si>
  <si>
    <t>23.1</t>
  </si>
  <si>
    <t>9.9</t>
  </si>
  <si>
    <t>RTT69/03-123</t>
  </si>
  <si>
    <t>16/05/2026 16:11</t>
  </si>
  <si>
    <t>0105561129561</t>
  </si>
  <si>
    <t>917.14</t>
  </si>
  <si>
    <t>64.2</t>
  </si>
  <si>
    <t>18.34</t>
  </si>
  <si>
    <t>RV-690300100</t>
  </si>
  <si>
    <t>บริษัท ฮาร์ทอมมิ่ง จำกัด</t>
  </si>
  <si>
    <t>106.54</t>
  </si>
  <si>
    <t>7.46</t>
  </si>
  <si>
    <t>TRSPXADB00-00000-26</t>
  </si>
  <si>
    <t>เวลา/วันที่เขามีผล</t>
  </si>
  <si>
    <t>รายการ</t>
  </si>
  <si>
    <t>รายละเอียด</t>
  </si>
  <si>
    <t>ถอน/เงินออก</t>
  </si>
  <si>
    <t>ฝาก/เงินเข้า</t>
  </si>
  <si>
    <t>ค่าธรรมเนียม</t>
  </si>
  <si>
    <t>ยอดคงเหลือ</t>
  </si>
  <si>
    <t>ช่องทาง</t>
  </si>
  <si>
    <t>คู่ค้า/ผู้โอน</t>
  </si>
  <si>
    <t>01/03/2026 - 31/03/2026</t>
  </si>
  <si>
    <t>รายงานรายการเดินบัญชีธนาคารกสิกรไทย สาขาเซ็นทรัลเอ็มบาสซี ของ บจก. ฮาร์ทวอมมิ่ง ประจำเดือนมีนาคม 2569 มียอดคงเหลือยกไป ณ สิ้นเดือน 274,632.81 บาท</t>
  </si>
  <si>
    <t>https://drive.google.com/file/d/1M3vsNrgLRPrJgqrGyCuaGtcawGJxXUeg/view?usp=drivesdk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</si>
</sst>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VP20qiYzXy4QFQxnRVJj6SC6wKR70AK/view?usp=drivesdk" TargetMode="External"/><Relationship Id="rId2" Type="http://schemas.openxmlformats.org/officeDocument/2006/relationships/hyperlink" Target="https://drive.google.com/file/d/196bo7tsHFwEn9JA1gLw4e_Pj_GiBvbJV/view?usp=drivesdk" TargetMode="External"/><Relationship Id="rId3" Type="http://schemas.openxmlformats.org/officeDocument/2006/relationships/hyperlink" Target="https://drive.google.com/file/d/1g1dW3Pab6wDPXuiLsleM2Zt_XAcKb6an/view?usp=drivesdk" TargetMode="External"/><Relationship Id="rId4" Type="http://schemas.openxmlformats.org/officeDocument/2006/relationships/hyperlink" Target="https://drive.google.com/file/d/1hCNpghxTF67AQ9GwAuzKgowvEWm64OOH/view?usp=drivesdk" TargetMode="External"/><Relationship Id="rId5" Type="http://schemas.openxmlformats.org/officeDocument/2006/relationships/hyperlink" Target="https://drive.google.com/file/d/1qSWpMyCUWuK_d-BX1eDWqAYJPBMuLiPC/view?usp=drivesdk" TargetMode="External"/><Relationship Id="rId6" Type="http://schemas.openxmlformats.org/officeDocument/2006/relationships/hyperlink" Target="https://drive.google.com/file/d/1Q3Y-JYSNDNKaSoFBQMV71jSEk_rAU0Fj/view?usp=drivesdk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i9xMYh2Wfhd43VgRBok3jh9h_PPc9rL_/view?usp=drivesdk" TargetMode="External"/><Relationship Id="rId10" Type="http://schemas.openxmlformats.org/officeDocument/2006/relationships/hyperlink" Target="https://drive.google.com/file/d/1QXRIP2EmdIGdnxeKRxVGAY_W6c7IERU1/view?usp=drivesdk" TargetMode="External"/><Relationship Id="rId13" Type="http://schemas.openxmlformats.org/officeDocument/2006/relationships/hyperlink" Target="https://drive.google.com/file/d/1cUUDu7ii8MAIv2vss94ir-a_eOb7HtIp/view?usp=drivesdk" TargetMode="External"/><Relationship Id="rId12" Type="http://schemas.openxmlformats.org/officeDocument/2006/relationships/hyperlink" Target="https://drive.google.com/file/d/1KDDISRt6YEqEV15UynL6L6bC2XoPfqyI/view?usp=drivesdk" TargetMode="External"/><Relationship Id="rId1" Type="http://schemas.openxmlformats.org/officeDocument/2006/relationships/hyperlink" Target="https://drive.google.com/file/d/1gVP20qiYzXy4QFQxnRVJj6SC6wKR70AK/view?usp=drivesdk" TargetMode="External"/><Relationship Id="rId2" Type="http://schemas.openxmlformats.org/officeDocument/2006/relationships/hyperlink" Target="https://drive.google.com/file/d/196bo7tsHFwEn9JA1gLw4e_Pj_GiBvbJV/view?usp=drivesdk" TargetMode="External"/><Relationship Id="rId3" Type="http://schemas.openxmlformats.org/officeDocument/2006/relationships/hyperlink" Target="https://drive.google.com/file/d/1g1dW3Pab6wDPXuiLsleM2Zt_XAcKb6an/view?usp=drivesdk" TargetMode="External"/><Relationship Id="rId4" Type="http://schemas.openxmlformats.org/officeDocument/2006/relationships/hyperlink" Target="https://drive.google.com/file/d/180aVkqYDfROGPpQ_pWbFjOTanKFDrHOc/view?usp=drivesdk" TargetMode="External"/><Relationship Id="rId9" Type="http://schemas.openxmlformats.org/officeDocument/2006/relationships/hyperlink" Target="https://drive.google.com/file/d/1Q3Y-JYSNDNKaSoFBQMV71jSEk_rAU0Fj/view?usp=drivesdk" TargetMode="External"/><Relationship Id="rId14" Type="http://schemas.openxmlformats.org/officeDocument/2006/relationships/drawing" Target="../drawings/drawing3.xml"/><Relationship Id="rId5" Type="http://schemas.openxmlformats.org/officeDocument/2006/relationships/hyperlink" Target="https://drive.google.com/file/d/1hCNpghxTF67AQ9GwAuzKgowvEWm64OOH/view?usp=drivesdk" TargetMode="External"/><Relationship Id="rId6" Type="http://schemas.openxmlformats.org/officeDocument/2006/relationships/hyperlink" Target="https://drive.google.com/file/d/1_1UDxT9-H0ttjJ0xNEWP3dLgXvh0_1TS/view?usp=drivesdk" TargetMode="External"/><Relationship Id="rId7" Type="http://schemas.openxmlformats.org/officeDocument/2006/relationships/hyperlink" Target="https://drive.google.com/file/d/1qSWpMyCUWuK_d-BX1eDWqAYJPBMuLiPC/view?usp=drivesdk" TargetMode="External"/><Relationship Id="rId8" Type="http://schemas.openxmlformats.org/officeDocument/2006/relationships/hyperlink" Target="https://drive.google.com/file/d/1DAlVIL5_eoyyIaskVWyryEqrAxP9t7sf/view?usp=drivesd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QXRIP2EmdIGdnxeKRxVGAY_W6c7IERU1/view?usp=drivesdk" TargetMode="External"/><Relationship Id="rId2" Type="http://schemas.openxmlformats.org/officeDocument/2006/relationships/hyperlink" Target="https://drive.google.com/file/d/1i9xMYh2Wfhd43VgRBok3jh9h_PPc9rL_/view?usp=drivesdk" TargetMode="External"/><Relationship Id="rId3" Type="http://schemas.openxmlformats.org/officeDocument/2006/relationships/hyperlink" Target="https://drive.google.com/file/d/1KDDISRt6YEqEV15UynL6L6bC2XoPfqyI/view?usp=drivesdk" TargetMode="External"/><Relationship Id="rId4" Type="http://schemas.openxmlformats.org/officeDocument/2006/relationships/hyperlink" Target="https://drive.google.com/file/d/1DAlVIL5_eoyyIaskVWyryEqrAxP9t7sf/view?usp=drivesdk" TargetMode="External"/><Relationship Id="rId5" Type="http://schemas.openxmlformats.org/officeDocument/2006/relationships/hyperlink" Target="https://drive.google.com/file/d/1_1UDxT9-H0ttjJ0xNEWP3dLgXvh0_1TS/view?usp=drivesdk" TargetMode="External"/><Relationship Id="rId6" Type="http://schemas.openxmlformats.org/officeDocument/2006/relationships/hyperlink" Target="https://drive.google.com/file/d/180aVkqYDfROGPpQ_pWbFjOTanKFDrHOc/view?usp=drivesdk" TargetMode="External"/><Relationship Id="rId7" Type="http://schemas.openxmlformats.org/officeDocument/2006/relationships/hyperlink" Target="https://drive.google.com/file/d/1cUUDu7ii8MAIv2vss94ir-a_eOb7HtIp/view?usp=drivesdk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3vsNrgLRPrJgqrGyCuaGtcawGJxXUeg/view?usp=drivesdk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</row>
    <row r="3">
      <c r="A3" s="1" t="s">
        <v>2</v>
      </c>
      <c r="C3" s="1" t="s">
        <v>3</v>
      </c>
    </row>
    <row r="4">
      <c r="A4" s="1" t="s">
        <v>4</v>
      </c>
      <c r="B4" s="1" t="s">
        <v>5</v>
      </c>
      <c r="C4" s="1" t="s">
        <v>6</v>
      </c>
      <c r="D4" s="1" t="s">
        <v>7</v>
      </c>
    </row>
    <row r="5">
      <c r="A5" s="1" t="s">
        <v>8</v>
      </c>
      <c r="B5" s="2">
        <f>SUM('สลิปโอนเงิน'!I:I)</f>
        <v>0</v>
      </c>
      <c r="C5" s="1" t="s">
        <v>9</v>
      </c>
      <c r="D5" s="2">
        <f>SUM('ใบเสร็จใบกำกับภาษี'!M:M)</f>
        <v>0</v>
      </c>
    </row>
    <row r="6">
      <c r="A6" s="1" t="s">
        <v>10</v>
      </c>
      <c r="B6" s="2">
        <f>SUM('สเตตเมนต์'!F:F)</f>
        <v>0</v>
      </c>
      <c r="C6" s="1" t="s">
        <v>11</v>
      </c>
      <c r="D6" s="2">
        <f>SUM('ใบเสร็จใบกำกับภาษี'!N:N)</f>
        <v>0</v>
      </c>
    </row>
    <row r="7">
      <c r="A7" s="1" t="s">
        <v>12</v>
      </c>
      <c r="B7" s="2">
        <f>SUM('ใบเสร็จใบกำกับภาษี'!J:J)</f>
        <v>0</v>
      </c>
    </row>
    <row r="8">
      <c r="A8" s="1" t="s">
        <v>13</v>
      </c>
      <c r="B8" s="2">
        <f>B5+B6+B7</f>
        <v>0</v>
      </c>
      <c r="C8" s="1" t="s">
        <v>14</v>
      </c>
      <c r="D8" s="2">
        <f>COUNTIF('สรุปกระทบยอด'!H:H, "*ระวัง*")</f>
        <v>0</v>
      </c>
    </row>
    <row r="10">
      <c r="A10" s="1" t="s">
        <v>15</v>
      </c>
    </row>
    <row r="11">
      <c r="A11" s="1" t="s">
        <v>16</v>
      </c>
      <c r="B11" s="1" t="s">
        <v>17</v>
      </c>
    </row>
    <row r="12">
      <c r="A12" s="1" t="s">
        <v>18</v>
      </c>
      <c r="B12" s="2">
        <f>COUNTIF('สรุปกระทบยอด'!B:B, "*สำเร็จ*")</f>
        <v>3</v>
      </c>
    </row>
    <row r="13">
      <c r="A13" s="1" t="s">
        <v>19</v>
      </c>
      <c r="B13" s="2">
        <f>COUNTIF('สรุปกระทบยอด'!B:B, "*รอ*")</f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>
      <c r="A2" s="3" t="s">
        <v>33</v>
      </c>
      <c r="B2" s="3" t="s">
        <v>34</v>
      </c>
      <c r="C2" s="3" t="s">
        <v>35</v>
      </c>
      <c r="D2" s="1" t="s">
        <v>36</v>
      </c>
      <c r="E2" s="1" t="s">
        <v>37</v>
      </c>
      <c r="F2" s="1" t="s">
        <v>36</v>
      </c>
      <c r="G2" s="1" t="s">
        <v>38</v>
      </c>
      <c r="H2" s="3" t="s">
        <v>39</v>
      </c>
      <c r="I2" s="1" t="s">
        <v>40</v>
      </c>
      <c r="J2" s="1" t="s">
        <v>41</v>
      </c>
      <c r="K2" s="1" t="s">
        <v>42</v>
      </c>
      <c r="L2" s="4" t="s">
        <v>43</v>
      </c>
      <c r="M2" s="1" t="s">
        <v>36</v>
      </c>
    </row>
    <row r="3">
      <c r="A3" s="3" t="s">
        <v>44</v>
      </c>
      <c r="B3" s="3" t="s">
        <v>45</v>
      </c>
      <c r="C3" s="3" t="s">
        <v>46</v>
      </c>
      <c r="D3" s="1" t="s">
        <v>36</v>
      </c>
      <c r="E3" s="1" t="s">
        <v>37</v>
      </c>
      <c r="F3" s="1" t="s">
        <v>36</v>
      </c>
      <c r="G3" s="1" t="s">
        <v>38</v>
      </c>
      <c r="H3" s="3" t="s">
        <v>39</v>
      </c>
      <c r="I3" s="1" t="s">
        <v>47</v>
      </c>
      <c r="J3" s="1" t="s">
        <v>48</v>
      </c>
      <c r="K3" s="1" t="s">
        <v>49</v>
      </c>
      <c r="L3" s="4" t="s">
        <v>50</v>
      </c>
      <c r="M3" s="1" t="s">
        <v>36</v>
      </c>
    </row>
    <row r="4">
      <c r="A4" s="3" t="s">
        <v>44</v>
      </c>
      <c r="B4" s="3" t="s">
        <v>51</v>
      </c>
      <c r="C4" s="3" t="s">
        <v>52</v>
      </c>
      <c r="D4" s="1" t="s">
        <v>36</v>
      </c>
      <c r="E4" s="1" t="s">
        <v>37</v>
      </c>
      <c r="F4" s="1" t="s">
        <v>36</v>
      </c>
      <c r="G4" s="1" t="s">
        <v>53</v>
      </c>
      <c r="H4" s="3" t="s">
        <v>54</v>
      </c>
      <c r="I4" s="1" t="s">
        <v>55</v>
      </c>
      <c r="J4" s="1" t="s">
        <v>56</v>
      </c>
      <c r="K4" s="1" t="s">
        <v>57</v>
      </c>
      <c r="L4" s="4" t="s">
        <v>58</v>
      </c>
      <c r="M4" s="1" t="s">
        <v>36</v>
      </c>
    </row>
    <row r="5">
      <c r="A5" s="3" t="s">
        <v>44</v>
      </c>
      <c r="B5" s="3" t="s">
        <v>59</v>
      </c>
      <c r="C5" s="3" t="s">
        <v>60</v>
      </c>
      <c r="D5" s="1" t="s">
        <v>36</v>
      </c>
      <c r="E5" s="1" t="s">
        <v>61</v>
      </c>
      <c r="F5" s="1" t="s">
        <v>36</v>
      </c>
      <c r="G5" s="1" t="s">
        <v>62</v>
      </c>
      <c r="H5" s="3" t="s">
        <v>63</v>
      </c>
      <c r="I5" s="1" t="s">
        <v>64</v>
      </c>
      <c r="J5" s="1" t="s">
        <v>65</v>
      </c>
      <c r="K5" s="1" t="s">
        <v>66</v>
      </c>
      <c r="L5" s="4" t="s">
        <v>67</v>
      </c>
      <c r="M5" s="1" t="s">
        <v>36</v>
      </c>
    </row>
    <row r="6">
      <c r="A6" s="3" t="s">
        <v>44</v>
      </c>
      <c r="B6" s="3" t="s">
        <v>68</v>
      </c>
      <c r="C6" s="3" t="s">
        <v>69</v>
      </c>
      <c r="D6" s="1" t="s">
        <v>36</v>
      </c>
      <c r="E6" s="1" t="s">
        <v>37</v>
      </c>
      <c r="F6" s="1" t="s">
        <v>36</v>
      </c>
      <c r="G6" s="1" t="s">
        <v>70</v>
      </c>
      <c r="H6" s="3" t="s">
        <v>71</v>
      </c>
      <c r="I6" s="1" t="s">
        <v>72</v>
      </c>
      <c r="J6" s="1" t="s">
        <v>73</v>
      </c>
      <c r="K6" s="1" t="s">
        <v>74</v>
      </c>
      <c r="L6" s="4" t="s">
        <v>75</v>
      </c>
      <c r="M6" s="1" t="s">
        <v>36</v>
      </c>
    </row>
    <row r="7">
      <c r="A7" s="3" t="s">
        <v>44</v>
      </c>
      <c r="B7" s="3" t="s">
        <v>76</v>
      </c>
      <c r="C7" s="3" t="s">
        <v>77</v>
      </c>
      <c r="D7" s="1" t="s">
        <v>36</v>
      </c>
      <c r="E7" s="1" t="s">
        <v>61</v>
      </c>
      <c r="F7" s="1" t="s">
        <v>36</v>
      </c>
      <c r="G7" s="1" t="s">
        <v>78</v>
      </c>
      <c r="H7" s="3" t="s">
        <v>79</v>
      </c>
      <c r="I7" s="1" t="s">
        <v>80</v>
      </c>
      <c r="J7" s="1" t="s">
        <v>81</v>
      </c>
      <c r="K7" s="1" t="s">
        <v>82</v>
      </c>
      <c r="L7" s="4" t="s">
        <v>83</v>
      </c>
      <c r="M7" s="1" t="s">
        <v>36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84</v>
      </c>
      <c r="B1" s="1" t="s">
        <v>16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>
      <c r="A2" s="3" t="s">
        <v>91</v>
      </c>
      <c r="B2" s="1" t="s">
        <v>92</v>
      </c>
      <c r="C2" s="3" t="s">
        <v>34</v>
      </c>
      <c r="D2" s="5">
        <v>57980.0</v>
      </c>
      <c r="E2" s="1" t="s">
        <v>38</v>
      </c>
      <c r="F2" s="4" t="s">
        <v>43</v>
      </c>
      <c r="G2" s="1" t="s">
        <v>36</v>
      </c>
      <c r="H2" s="1" t="s">
        <v>93</v>
      </c>
    </row>
    <row r="3">
      <c r="A3" s="3" t="s">
        <v>91</v>
      </c>
      <c r="B3" s="1" t="s">
        <v>92</v>
      </c>
      <c r="C3" s="3" t="s">
        <v>45</v>
      </c>
      <c r="D3" s="5">
        <v>57980.0</v>
      </c>
      <c r="E3" s="1" t="s">
        <v>38</v>
      </c>
      <c r="F3" s="4" t="s">
        <v>50</v>
      </c>
      <c r="G3" s="1" t="s">
        <v>36</v>
      </c>
      <c r="H3" s="1" t="s">
        <v>93</v>
      </c>
    </row>
    <row r="4">
      <c r="A4" s="3" t="s">
        <v>91</v>
      </c>
      <c r="B4" s="1" t="s">
        <v>94</v>
      </c>
      <c r="C4" s="3" t="s">
        <v>51</v>
      </c>
      <c r="D4" s="5">
        <v>963.0</v>
      </c>
      <c r="E4" s="1" t="s">
        <v>95</v>
      </c>
      <c r="F4" s="4" t="s">
        <v>58</v>
      </c>
      <c r="G4" s="4" t="s">
        <v>96</v>
      </c>
      <c r="H4" s="1" t="s">
        <v>97</v>
      </c>
    </row>
    <row r="5">
      <c r="A5" s="3" t="s">
        <v>91</v>
      </c>
      <c r="B5" s="1" t="s">
        <v>94</v>
      </c>
      <c r="C5" s="3" t="s">
        <v>59</v>
      </c>
      <c r="D5" s="5">
        <v>353.1</v>
      </c>
      <c r="E5" s="1" t="s">
        <v>98</v>
      </c>
      <c r="F5" s="4" t="s">
        <v>67</v>
      </c>
      <c r="G5" s="4" t="s">
        <v>99</v>
      </c>
      <c r="H5" s="1" t="s">
        <v>97</v>
      </c>
    </row>
    <row r="6">
      <c r="A6" s="3" t="s">
        <v>91</v>
      </c>
      <c r="B6" s="1" t="s">
        <v>94</v>
      </c>
      <c r="C6" s="3" t="s">
        <v>68</v>
      </c>
      <c r="D6" s="5">
        <v>22880.0</v>
      </c>
      <c r="E6" s="1" t="s">
        <v>100</v>
      </c>
      <c r="F6" s="4" t="s">
        <v>75</v>
      </c>
      <c r="G6" s="4" t="s">
        <v>101</v>
      </c>
      <c r="H6" s="1" t="s">
        <v>97</v>
      </c>
    </row>
    <row r="7">
      <c r="A7" s="3" t="s">
        <v>91</v>
      </c>
      <c r="B7" s="1" t="s">
        <v>92</v>
      </c>
      <c r="C7" s="3" t="s">
        <v>76</v>
      </c>
      <c r="D7" s="5">
        <v>20696.0</v>
      </c>
      <c r="E7" s="1" t="s">
        <v>78</v>
      </c>
      <c r="F7" s="4" t="s">
        <v>83</v>
      </c>
      <c r="G7" s="1" t="s">
        <v>36</v>
      </c>
      <c r="H7" s="1" t="s">
        <v>93</v>
      </c>
    </row>
    <row r="8">
      <c r="A8" s="3" t="s">
        <v>91</v>
      </c>
      <c r="B8" s="1" t="s">
        <v>102</v>
      </c>
      <c r="C8" s="3" t="s">
        <v>34</v>
      </c>
      <c r="D8" s="3" t="s">
        <v>103</v>
      </c>
      <c r="E8" s="1" t="s">
        <v>104</v>
      </c>
      <c r="F8" s="1" t="s">
        <v>36</v>
      </c>
      <c r="G8" s="4" t="s">
        <v>105</v>
      </c>
      <c r="H8" s="1" t="s">
        <v>106</v>
      </c>
    </row>
    <row r="9">
      <c r="A9" s="3" t="s">
        <v>91</v>
      </c>
      <c r="B9" s="1" t="s">
        <v>102</v>
      </c>
      <c r="C9" s="3" t="s">
        <v>45</v>
      </c>
      <c r="D9" s="3" t="s">
        <v>103</v>
      </c>
      <c r="E9" s="1" t="s">
        <v>107</v>
      </c>
      <c r="F9" s="1" t="s">
        <v>36</v>
      </c>
      <c r="G9" s="4" t="s">
        <v>108</v>
      </c>
      <c r="H9" s="1" t="s">
        <v>106</v>
      </c>
    </row>
    <row r="10">
      <c r="A10" s="3" t="s">
        <v>91</v>
      </c>
      <c r="B10" s="1" t="s">
        <v>102</v>
      </c>
      <c r="C10" s="3" t="s">
        <v>109</v>
      </c>
      <c r="D10" s="3" t="s">
        <v>110</v>
      </c>
      <c r="E10" s="1" t="s">
        <v>111</v>
      </c>
      <c r="F10" s="1" t="s">
        <v>36</v>
      </c>
      <c r="G10" s="4" t="s">
        <v>112</v>
      </c>
      <c r="H10" s="1" t="s">
        <v>106</v>
      </c>
    </row>
    <row r="11">
      <c r="A11" s="3" t="s">
        <v>91</v>
      </c>
      <c r="B11" s="1" t="s">
        <v>102</v>
      </c>
      <c r="C11" s="3" t="s">
        <v>113</v>
      </c>
      <c r="D11" s="3" t="s">
        <v>114</v>
      </c>
      <c r="E11" s="1" t="s">
        <v>115</v>
      </c>
      <c r="F11" s="1" t="s">
        <v>36</v>
      </c>
      <c r="G11" s="4" t="s">
        <v>116</v>
      </c>
      <c r="H11" s="1" t="s">
        <v>106</v>
      </c>
    </row>
  </sheetData>
  <hyperlinks>
    <hyperlink r:id="rId1" ref="F2"/>
    <hyperlink r:id="rId2" ref="F3"/>
    <hyperlink r:id="rId3" ref="F4"/>
    <hyperlink r:id="rId4" ref="G4"/>
    <hyperlink r:id="rId5" ref="F5"/>
    <hyperlink r:id="rId6" ref="G5"/>
    <hyperlink r:id="rId7" ref="F6"/>
    <hyperlink r:id="rId8" ref="G6"/>
    <hyperlink r:id="rId9" ref="F7"/>
    <hyperlink r:id="rId10" ref="G8"/>
    <hyperlink r:id="rId11" ref="G9"/>
    <hyperlink r:id="rId12" ref="G10"/>
    <hyperlink r:id="rId13" ref="G11"/>
  </hyperlinks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</v>
      </c>
      <c r="B1" s="1" t="s">
        <v>4</v>
      </c>
      <c r="C1" s="1" t="s">
        <v>85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27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28</v>
      </c>
      <c r="S1" s="1" t="s">
        <v>31</v>
      </c>
    </row>
    <row r="2">
      <c r="A2" s="3" t="s">
        <v>130</v>
      </c>
      <c r="B2" s="1" t="s">
        <v>131</v>
      </c>
      <c r="C2" s="3" t="s">
        <v>34</v>
      </c>
      <c r="D2" s="1" t="s">
        <v>36</v>
      </c>
      <c r="E2" s="1" t="s">
        <v>104</v>
      </c>
      <c r="F2" s="3" t="s">
        <v>132</v>
      </c>
      <c r="G2" s="1" t="s">
        <v>36</v>
      </c>
      <c r="H2" s="1" t="s">
        <v>36</v>
      </c>
      <c r="I2" s="1" t="s">
        <v>133</v>
      </c>
      <c r="J2" s="3" t="s">
        <v>103</v>
      </c>
      <c r="K2" s="3" t="s">
        <v>134</v>
      </c>
      <c r="L2" s="1" t="s">
        <v>36</v>
      </c>
      <c r="M2" s="3" t="s">
        <v>135</v>
      </c>
      <c r="N2" s="3" t="s">
        <v>136</v>
      </c>
      <c r="O2" s="1" t="s">
        <v>36</v>
      </c>
      <c r="P2" s="1" t="s">
        <v>36</v>
      </c>
      <c r="Q2" s="1" t="s">
        <v>36</v>
      </c>
      <c r="R2" s="3" t="s">
        <v>137</v>
      </c>
      <c r="S2" s="4" t="s">
        <v>105</v>
      </c>
    </row>
    <row r="3">
      <c r="A3" s="3" t="s">
        <v>138</v>
      </c>
      <c r="B3" s="1" t="s">
        <v>131</v>
      </c>
      <c r="C3" s="3" t="s">
        <v>45</v>
      </c>
      <c r="D3" s="1" t="s">
        <v>36</v>
      </c>
      <c r="E3" s="1" t="s">
        <v>107</v>
      </c>
      <c r="F3" s="3" t="s">
        <v>132</v>
      </c>
      <c r="G3" s="1" t="s">
        <v>36</v>
      </c>
      <c r="H3" s="1" t="s">
        <v>36</v>
      </c>
      <c r="I3" s="1" t="s">
        <v>104</v>
      </c>
      <c r="J3" s="3" t="s">
        <v>103</v>
      </c>
      <c r="K3" s="3" t="s">
        <v>134</v>
      </c>
      <c r="L3" s="1" t="s">
        <v>36</v>
      </c>
      <c r="M3" s="3" t="s">
        <v>135</v>
      </c>
      <c r="N3" s="3" t="s">
        <v>136</v>
      </c>
      <c r="O3" s="1" t="s">
        <v>36</v>
      </c>
      <c r="P3" s="1" t="s">
        <v>36</v>
      </c>
      <c r="Q3" s="1" t="s">
        <v>36</v>
      </c>
      <c r="R3" s="3" t="s">
        <v>139</v>
      </c>
      <c r="S3" s="4" t="s">
        <v>108</v>
      </c>
    </row>
    <row r="4">
      <c r="A4" s="3" t="s">
        <v>138</v>
      </c>
      <c r="B4" s="1" t="s">
        <v>131</v>
      </c>
      <c r="C4" s="3" t="s">
        <v>109</v>
      </c>
      <c r="D4" s="3" t="s">
        <v>140</v>
      </c>
      <c r="E4" s="1" t="s">
        <v>111</v>
      </c>
      <c r="F4" s="3" t="s">
        <v>141</v>
      </c>
      <c r="G4" s="1" t="s">
        <v>36</v>
      </c>
      <c r="H4" s="1" t="s">
        <v>36</v>
      </c>
      <c r="I4" s="1" t="s">
        <v>104</v>
      </c>
      <c r="J4" s="3" t="s">
        <v>110</v>
      </c>
      <c r="K4" s="3" t="s">
        <v>142</v>
      </c>
      <c r="L4" s="1" t="s">
        <v>36</v>
      </c>
      <c r="M4" s="3" t="s">
        <v>143</v>
      </c>
      <c r="N4" s="3" t="s">
        <v>136</v>
      </c>
      <c r="O4" s="1" t="s">
        <v>36</v>
      </c>
      <c r="P4" s="1" t="s">
        <v>36</v>
      </c>
      <c r="Q4" s="1" t="s">
        <v>36</v>
      </c>
      <c r="R4" s="1" t="s">
        <v>144</v>
      </c>
      <c r="S4" s="4" t="s">
        <v>112</v>
      </c>
    </row>
    <row r="5">
      <c r="A5" s="3" t="s">
        <v>145</v>
      </c>
      <c r="B5" s="1" t="s">
        <v>131</v>
      </c>
      <c r="C5" s="3" t="s">
        <v>68</v>
      </c>
      <c r="D5" s="1" t="s">
        <v>36</v>
      </c>
      <c r="E5" s="1" t="s">
        <v>100</v>
      </c>
      <c r="F5" s="3" t="s">
        <v>146</v>
      </c>
      <c r="G5" s="1" t="s">
        <v>36</v>
      </c>
      <c r="H5" s="1" t="s">
        <v>36</v>
      </c>
      <c r="I5" s="1" t="s">
        <v>147</v>
      </c>
      <c r="J5" s="3" t="s">
        <v>71</v>
      </c>
      <c r="K5" s="3" t="s">
        <v>148</v>
      </c>
      <c r="L5" s="1" t="s">
        <v>36</v>
      </c>
      <c r="M5" s="3" t="s">
        <v>149</v>
      </c>
      <c r="N5" s="3" t="s">
        <v>150</v>
      </c>
      <c r="O5" s="1" t="s">
        <v>36</v>
      </c>
      <c r="P5" s="1" t="s">
        <v>36</v>
      </c>
      <c r="Q5" s="1" t="s">
        <v>36</v>
      </c>
      <c r="R5" s="1" t="s">
        <v>151</v>
      </c>
      <c r="S5" s="4" t="s">
        <v>101</v>
      </c>
    </row>
    <row r="6">
      <c r="A6" s="3" t="s">
        <v>145</v>
      </c>
      <c r="B6" s="1" t="s">
        <v>131</v>
      </c>
      <c r="C6" s="3" t="s">
        <v>152</v>
      </c>
      <c r="D6" s="1" t="s">
        <v>36</v>
      </c>
      <c r="E6" s="1" t="s">
        <v>98</v>
      </c>
      <c r="F6" s="3" t="s">
        <v>153</v>
      </c>
      <c r="G6" s="1" t="s">
        <v>36</v>
      </c>
      <c r="H6" s="1" t="s">
        <v>36</v>
      </c>
      <c r="I6" s="1" t="s">
        <v>154</v>
      </c>
      <c r="J6" s="3" t="s">
        <v>63</v>
      </c>
      <c r="K6" s="3" t="s">
        <v>155</v>
      </c>
      <c r="L6" s="1" t="s">
        <v>36</v>
      </c>
      <c r="M6" s="3" t="s">
        <v>156</v>
      </c>
      <c r="N6" s="3" t="s">
        <v>157</v>
      </c>
      <c r="O6" s="1" t="s">
        <v>36</v>
      </c>
      <c r="P6" s="1" t="s">
        <v>36</v>
      </c>
      <c r="Q6" s="1" t="s">
        <v>36</v>
      </c>
      <c r="R6" s="1" t="s">
        <v>158</v>
      </c>
      <c r="S6" s="4" t="s">
        <v>99</v>
      </c>
    </row>
    <row r="7">
      <c r="A7" s="3" t="s">
        <v>159</v>
      </c>
      <c r="B7" s="1" t="s">
        <v>131</v>
      </c>
      <c r="C7" s="3" t="s">
        <v>109</v>
      </c>
      <c r="D7" s="1" t="s">
        <v>36</v>
      </c>
      <c r="E7" s="1" t="s">
        <v>95</v>
      </c>
      <c r="F7" s="3" t="s">
        <v>160</v>
      </c>
      <c r="G7" s="1" t="s">
        <v>36</v>
      </c>
      <c r="H7" s="1" t="s">
        <v>36</v>
      </c>
      <c r="I7" s="1" t="s">
        <v>104</v>
      </c>
      <c r="J7" s="3" t="s">
        <v>54</v>
      </c>
      <c r="K7" s="3" t="s">
        <v>161</v>
      </c>
      <c r="L7" s="1" t="s">
        <v>36</v>
      </c>
      <c r="M7" s="3" t="s">
        <v>162</v>
      </c>
      <c r="N7" s="3" t="s">
        <v>163</v>
      </c>
      <c r="O7" s="1" t="s">
        <v>36</v>
      </c>
      <c r="P7" s="1" t="s">
        <v>36</v>
      </c>
      <c r="Q7" s="1" t="s">
        <v>36</v>
      </c>
      <c r="R7" s="1" t="s">
        <v>164</v>
      </c>
      <c r="S7" s="4" t="s">
        <v>96</v>
      </c>
    </row>
    <row r="8">
      <c r="A8" s="3" t="s">
        <v>159</v>
      </c>
      <c r="B8" s="1" t="s">
        <v>131</v>
      </c>
      <c r="C8" s="3" t="s">
        <v>113</v>
      </c>
      <c r="D8" s="1" t="s">
        <v>36</v>
      </c>
      <c r="E8" s="1" t="s">
        <v>115</v>
      </c>
      <c r="F8" s="3" t="s">
        <v>132</v>
      </c>
      <c r="G8" s="1" t="s">
        <v>36</v>
      </c>
      <c r="H8" s="1" t="s">
        <v>36</v>
      </c>
      <c r="I8" s="1" t="s">
        <v>165</v>
      </c>
      <c r="J8" s="3" t="s">
        <v>114</v>
      </c>
      <c r="K8" s="3" t="s">
        <v>166</v>
      </c>
      <c r="L8" s="1" t="s">
        <v>36</v>
      </c>
      <c r="M8" s="3" t="s">
        <v>167</v>
      </c>
      <c r="N8" s="3" t="s">
        <v>136</v>
      </c>
      <c r="O8" s="1" t="s">
        <v>36</v>
      </c>
      <c r="P8" s="1" t="s">
        <v>36</v>
      </c>
      <c r="Q8" s="1" t="s">
        <v>36</v>
      </c>
      <c r="R8" s="1" t="s">
        <v>168</v>
      </c>
      <c r="S8" s="4" t="s">
        <v>116</v>
      </c>
    </row>
  </sheetData>
  <hyperlinks>
    <hyperlink r:id="rId1" ref="S2"/>
    <hyperlink r:id="rId2" ref="S3"/>
    <hyperlink r:id="rId3" ref="S4"/>
    <hyperlink r:id="rId4" ref="S5"/>
    <hyperlink r:id="rId5" ref="S6"/>
    <hyperlink r:id="rId6" ref="S7"/>
    <hyperlink r:id="rId7" ref="S8"/>
  </hyperlinks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</v>
      </c>
      <c r="B1" s="1" t="s">
        <v>85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28</v>
      </c>
      <c r="L1" s="1" t="s">
        <v>177</v>
      </c>
      <c r="M1" s="1" t="s">
        <v>31</v>
      </c>
    </row>
    <row r="2">
      <c r="A2" s="3" t="s">
        <v>91</v>
      </c>
      <c r="B2" s="1" t="s">
        <v>178</v>
      </c>
      <c r="C2" s="1" t="s">
        <v>36</v>
      </c>
      <c r="D2" s="1" t="s">
        <v>179</v>
      </c>
      <c r="E2" s="1" t="s">
        <v>36</v>
      </c>
      <c r="F2" s="1" t="s">
        <v>36</v>
      </c>
      <c r="G2" s="1" t="s">
        <v>36</v>
      </c>
      <c r="H2" s="1" t="s">
        <v>36</v>
      </c>
      <c r="I2" s="1" t="s">
        <v>36</v>
      </c>
      <c r="J2" s="1" t="s">
        <v>36</v>
      </c>
      <c r="K2" s="1" t="s">
        <v>36</v>
      </c>
      <c r="L2" s="1" t="s">
        <v>36</v>
      </c>
      <c r="M2" s="4" t="s">
        <v>180</v>
      </c>
    </row>
  </sheetData>
  <hyperlinks>
    <hyperlink r:id="rId1" ref="M2"/>
  </hyperlinks>
  <drawing r:id="rId2"/>
</worksheet>
</file>